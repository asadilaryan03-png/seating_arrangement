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<sst xmlns="http://schemas.openxmlformats.org/spreadsheetml/2006/main" count="126" uniqueCount="76">
  <si>
    <t xml:space="preserve">(FROM F.Y)  To T.Y. B.Tech </t>
  </si>
  <si>
    <t>Sem-I</t>
  </si>
  <si>
    <t>Sem-2</t>
  </si>
  <si>
    <t>Sem-3</t>
  </si>
  <si>
    <t>Sem-4</t>
  </si>
  <si>
    <t>Total Credits</t>
  </si>
  <si>
    <t>TUSHAR TANAJI NIKAM</t>
  </si>
  <si>
    <t>URMILA BALASAHEB MOTE</t>
  </si>
  <si>
    <t>RAVI GANPAT GHODKE</t>
  </si>
  <si>
    <t xml:space="preserve">DSY To T.Y. B.Tech </t>
  </si>
  <si>
    <t>SRIRAM VIGHNESH AMBADAS           (DSY)</t>
  </si>
  <si>
    <t>WITH HELD</t>
  </si>
  <si>
    <t>CHAUHAN NIKITA SHIVSING</t>
  </si>
  <si>
    <t>KARRE SNEHA AMBADAS</t>
  </si>
  <si>
    <t>AS IT IS</t>
  </si>
  <si>
    <t>BIRAJDAR GANESH SHIVARAY</t>
  </si>
  <si>
    <t>CHANGE</t>
  </si>
  <si>
    <t>BAKE NITIN SIDDHARAM</t>
  </si>
  <si>
    <t>SAKHARE ABHAY BASAVRAJ</t>
  </si>
  <si>
    <t>ASMITA DINESH JANAKAR</t>
  </si>
  <si>
    <t>MULLA MUSKAN LIYAKATALI</t>
  </si>
  <si>
    <t>CHAN TO 7</t>
  </si>
  <si>
    <t>INGALE TANMAYEE RAVIKIRAN</t>
  </si>
  <si>
    <t>DIXIT BHAKTI PADMAKAR</t>
  </si>
  <si>
    <t>GHODAKE SACHIN MAHADEV</t>
  </si>
  <si>
    <t>SUTAR MAHESH SURESH</t>
  </si>
  <si>
    <t>SONKANTALE SIDHARAM KALLAPPA</t>
  </si>
  <si>
    <t>SHAIKH SOHEL ABDUL MOEEN</t>
  </si>
  <si>
    <t>KONGARI VARUN SURESH</t>
  </si>
  <si>
    <t>LAKAPATI RAJIT RAVINDRA</t>
  </si>
  <si>
    <t>MALPEDDI ONKARNATH RAMCHANDRA</t>
  </si>
  <si>
    <t>TIGALPALLI SNEHAL SHIVRAJ</t>
  </si>
  <si>
    <t>DAMJI SAGAR VITTHAL</t>
  </si>
  <si>
    <t>NO CHANGE</t>
  </si>
  <si>
    <t>BHORE RAVIRAJ MAHESH</t>
  </si>
  <si>
    <t>PANDHE GANESH NAGNATH</t>
  </si>
  <si>
    <t>ANKITA RAIKAR</t>
  </si>
  <si>
    <t>SHAIKH SALIM MAHIBUB</t>
  </si>
  <si>
    <t>KOLI ANISHA SIDDHESHWAR</t>
  </si>
  <si>
    <t>VANZARE SUPRIYA ANIL</t>
  </si>
  <si>
    <t>SURYAWANSHI SUYASH DILIP</t>
  </si>
  <si>
    <t>SNEHA NAGNATH THONGE</t>
  </si>
  <si>
    <t>ACHKAL ABDULLAH MOHAMMAD YUSUF</t>
  </si>
  <si>
    <t>MANE RIYA LAXMIKANT</t>
  </si>
  <si>
    <t>CHAKRAL PAVAN RAMESH</t>
  </si>
  <si>
    <t>AVATADE ANJALI SANJAY</t>
  </si>
  <si>
    <t>SHAIKH TARANNUM WAKIL</t>
  </si>
  <si>
    <t>BODDUL GOVARDHAN NARENDRA</t>
  </si>
  <si>
    <t>BANDI MANOJ PRABHAKAR</t>
  </si>
  <si>
    <t>NARKE DHANRAJ ANILKUMAR</t>
  </si>
  <si>
    <t>AVADHUT PRAGATI AMBADAS</t>
  </si>
  <si>
    <t>CHOUGULE SUJAL BALASAHEB</t>
  </si>
  <si>
    <t>SHAIKH MOHAMMED MEERAN FEROZ</t>
  </si>
  <si>
    <t>DODDAMANI PRANAV GOVIND</t>
  </si>
  <si>
    <t>GUNDETI ONKAR RAMESH</t>
  </si>
  <si>
    <t>KARIMUNGI RUTUJA RAMESH</t>
  </si>
  <si>
    <t>MANE DIVYARANI BALKRISHNA</t>
  </si>
  <si>
    <t>SHAIKH SANIYA RAFIK</t>
  </si>
  <si>
    <t>VAISHNAV MERGU</t>
  </si>
  <si>
    <t>PASARE BHIMASHANKAR PRAVIN</t>
  </si>
  <si>
    <t>NAIKWADI SUPRIYA UMESH</t>
  </si>
  <si>
    <t>THORAT MADHAVI MOHAN</t>
  </si>
  <si>
    <t>TIRPEKAR MEGHRAJ YALLAPPA</t>
  </si>
  <si>
    <t>PATIL AAKANKSHA ARVIND</t>
  </si>
  <si>
    <t>ITKAR NAMRTA NAGNATH</t>
  </si>
  <si>
    <t>CHABUKSWAR VIDYA AANNAPPA</t>
  </si>
  <si>
    <t>TARLAWAD RUPA NARSINH</t>
  </si>
  <si>
    <t>ALAND AMEGHA LINGRAJ</t>
  </si>
  <si>
    <t>IGADE SHRUTI MAHESHWAR</t>
  </si>
  <si>
    <t>KADAM SUDARSHAN DIPAK</t>
  </si>
  <si>
    <t>LUKADE M NAWAZ LADLE SAB</t>
  </si>
  <si>
    <t>GAJUL BALAJI SHRINIVAS</t>
  </si>
  <si>
    <t>CHANGE TO 4</t>
  </si>
  <si>
    <t>GOSKI BHARAT MOHAN</t>
  </si>
  <si>
    <t>PATIL SUYASH DILIP</t>
  </si>
  <si>
    <t>CANCEL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</si>
</sst>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/>
      <name val="Arial"/>
      <scheme val="minor"/>
    </font>
    <font>
      <b/>
      <sz val="18.0"/>
      <color rgb="FF000000"/>
      <name val="Calibri"/>
    </font>
    <font/>
    <font>
      <sz val="12.0"/>
      <color/>
      <name val="Cambria"/>
    </font>
    <font>
      <sz val="11.0"/>
      <color/>
      <name val="Calibri"/>
    </font>
    <font>
      <b/>
      <sz val="11.0"/>
      <color/>
      <name val="Calibri"/>
    </font>
    <font>
      <b/>
      <sz val="18.0"/>
      <color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</fills>
  <borders count="7">
    <border/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Alignment="1" applyBorder="1" applyFont="1">
      <alignment horizontal="center"/>
    </xf>
    <xf borderId="3" fillId="0" fontId="2" numFmtId="0" xfId="0" applyBorder="1" applyFont="1"/>
    <xf borderId="4" fillId="0" fontId="2" numFmtId="0" xfId="0" applyBorder="1" applyFont="1"/>
    <xf borderId="5" fillId="0" fontId="1" numFmtId="0" xfId="0" applyBorder="1" applyFont="1"/>
    <xf borderId="5" fillId="0" fontId="1" numFmtId="0" xfId="0" applyAlignment="1" applyBorder="1" applyFont="1">
      <alignment horizontal="center"/>
    </xf>
    <xf borderId="5" fillId="0" fontId="1" numFmtId="9" xfId="0" applyAlignment="1" applyBorder="1" applyFont="1" applyNumberFormat="1">
      <alignment horizontal="center"/>
    </xf>
    <xf borderId="5" fillId="0" fontId="3" numFmtId="0" xfId="0" applyAlignment="1" applyBorder="1" applyFont="1">
      <alignment horizontal="left" vertical="center"/>
    </xf>
    <xf borderId="5" fillId="0" fontId="4" numFmtId="0" xfId="0" applyBorder="1" applyFont="1"/>
    <xf borderId="5" fillId="0" fontId="3" numFmtId="0" xfId="0" applyAlignment="1" applyBorder="1" applyFont="1">
      <alignment horizontal="left" vertical="center"/>
    </xf>
    <xf borderId="5" fillId="0" fontId="5" numFmtId="0" xfId="0" applyAlignment="1" applyBorder="1" applyFont="1">
      <alignment horizontal="center" vertical="center"/>
    </xf>
    <xf borderId="5" fillId="0" fontId="6" numFmtId="0" xfId="0" applyAlignment="1" applyBorder="1" applyFont="1">
      <alignment horizontal="center" vertical="center"/>
    </xf>
    <xf borderId="5" fillId="2" fontId="3" numFmtId="0" xfId="0" applyAlignment="1" applyBorder="1" applyFill="1" applyFont="1">
      <alignment horizontal="left" vertical="center"/>
    </xf>
    <xf borderId="5" fillId="2" fontId="4" numFmtId="0" xfId="0" applyBorder="1" applyFont="1"/>
    <xf borderId="5" fillId="2" fontId="5" numFmtId="0" xfId="0" applyAlignment="1" applyBorder="1" applyFont="1">
      <alignment horizontal="center" vertical="center"/>
    </xf>
    <xf borderId="5" fillId="2" fontId="6" numFmtId="0" xfId="0" applyAlignment="1" applyBorder="1" applyFont="1">
      <alignment horizontal="center" vertical="center"/>
    </xf>
    <xf borderId="5" fillId="3" fontId="3" numFmtId="0" xfId="0" applyAlignment="1" applyBorder="1" applyFill="1" applyFont="1">
      <alignment horizontal="left" vertical="center"/>
    </xf>
    <xf borderId="5" fillId="3" fontId="4" numFmtId="0" xfId="0" applyBorder="1" applyFont="1"/>
    <xf borderId="5" fillId="3" fontId="5" numFmtId="0" xfId="0" applyAlignment="1" applyBorder="1" applyFont="1">
      <alignment horizontal="center" vertical="center"/>
    </xf>
    <xf borderId="5" fillId="3" fontId="6" numFmtId="0" xfId="0" applyAlignment="1" applyBorder="1" applyFont="1">
      <alignment horizontal="center" vertical="center"/>
    </xf>
    <xf borderId="6" fillId="0" fontId="4" numFmtId="0" xfId="0" applyBorder="1" applyFont="1"/>
  </cellXfs>
  <cellStyles count="1">
    <cellStyle xfId="0" name="Normal" builtinId="0"/>
  </cellStyles>
  <dxfs count="2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  <col customWidth="1" min="7" max="7" width="44.57"/>
    <col customWidth="1" min="8" max="8" width="17.0"/>
    <col customWidth="1" min="9" max="10" width="10.14"/>
    <col customWidth="1" min="11" max="11" width="19.71"/>
    <col customWidth="1" min="12" max="12" width="8.71"/>
    <col customWidth="1" min="13" max="13" width="19.71"/>
    <col customWidth="1" min="14" max="14" width="8.71"/>
  </cols>
  <sheetData>
    <row r="5">
      <c r="H5" s="1"/>
      <c r="I5" s="2" t="s">
        <v>0</v>
      </c>
      <c r="J5" s="3"/>
      <c r="K5" s="3"/>
      <c r="L5" s="4"/>
      <c r="M5" s="5"/>
      <c r="N5" s="5"/>
    </row>
    <row r="6">
      <c r="H6" s="1"/>
      <c r="I6" s="6" t="s">
        <v>1</v>
      </c>
      <c r="J6" s="6" t="s">
        <v>2</v>
      </c>
      <c r="K6" s="6" t="s">
        <v>3</v>
      </c>
      <c r="L6" s="6" t="s">
        <v>4</v>
      </c>
      <c r="M6" s="6" t="s">
        <v>5</v>
      </c>
      <c r="N6" s="7">
        <v>0.8</v>
      </c>
    </row>
    <row r="7">
      <c r="H7" s="1"/>
      <c r="I7" s="6">
        <v>18.0</v>
      </c>
      <c r="J7" s="6">
        <v>19.0</v>
      </c>
      <c r="K7" s="6">
        <v>20.0</v>
      </c>
      <c r="L7" s="6">
        <v>22.0</v>
      </c>
      <c r="M7" s="6" t="str">
        <f t="shared" ref="M7:M8" si="1">SUM(I7:L7)</f>
        <v>79</v>
      </c>
      <c r="N7" s="6" t="str">
        <f>M7*80/100</f>
        <v>63.2</v>
      </c>
    </row>
    <row r="8">
      <c r="G8" s="8" t="s">
        <v>6</v>
      </c>
      <c r="H8" s="1"/>
      <c r="I8" s="6">
        <v>0.0</v>
      </c>
      <c r="J8" s="6">
        <v>0.0</v>
      </c>
      <c r="K8" s="6">
        <v>12.0</v>
      </c>
      <c r="L8" s="6">
        <v>22.0</v>
      </c>
      <c r="M8" s="6" t="str">
        <f t="shared" si="1"/>
        <v>34</v>
      </c>
      <c r="N8" s="6" t="str">
        <f>SUM(I8:L8)</f>
        <v>34</v>
      </c>
    </row>
    <row r="9">
      <c r="G9" s="8" t="s">
        <v>7</v>
      </c>
      <c r="H9" s="9"/>
      <c r="I9" s="9"/>
      <c r="J9" s="9"/>
      <c r="K9" s="9"/>
      <c r="L9" s="9"/>
      <c r="M9" s="9"/>
      <c r="N9" s="9"/>
    </row>
    <row r="10">
      <c r="G10" s="10" t="s">
        <v>8</v>
      </c>
      <c r="H10" s="9"/>
      <c r="I10" s="9"/>
      <c r="J10" s="9"/>
      <c r="K10" s="9"/>
      <c r="L10" s="9"/>
      <c r="M10" s="9"/>
      <c r="N10" s="9"/>
    </row>
    <row r="11">
      <c r="H11" s="1"/>
      <c r="I11" s="2" t="s">
        <v>9</v>
      </c>
      <c r="J11" s="3"/>
      <c r="K11" s="3"/>
      <c r="L11" s="4"/>
      <c r="M11" s="5"/>
      <c r="N11" s="5"/>
    </row>
    <row r="12">
      <c r="H12" s="1"/>
      <c r="I12" s="6" t="s">
        <v>3</v>
      </c>
      <c r="J12" s="6" t="s">
        <v>4</v>
      </c>
      <c r="K12" s="6" t="s">
        <v>5</v>
      </c>
      <c r="L12" s="7">
        <v>0.6</v>
      </c>
      <c r="M12" s="5"/>
      <c r="N12" s="5"/>
    </row>
    <row r="13">
      <c r="H13" s="1"/>
      <c r="I13" s="6">
        <v>20.0</v>
      </c>
      <c r="J13" s="6">
        <v>22.0</v>
      </c>
      <c r="K13" s="6" t="str">
        <f>I13+J13</f>
        <v>42</v>
      </c>
      <c r="L13" s="6" t="str">
        <f>K13*60/100</f>
        <v>25.2</v>
      </c>
      <c r="M13" s="5"/>
      <c r="N13" s="5"/>
    </row>
    <row r="14">
      <c r="H14" s="1"/>
      <c r="I14" s="6"/>
      <c r="J14" s="6"/>
      <c r="K14" s="6"/>
      <c r="L14" s="6"/>
      <c r="M14" s="5"/>
      <c r="N14" s="5"/>
    </row>
    <row r="15">
      <c r="G15" s="10" t="s">
        <v>10</v>
      </c>
      <c r="H15" s="9"/>
      <c r="I15" s="11">
        <v>4.0</v>
      </c>
      <c r="J15" s="11">
        <v>7.0</v>
      </c>
      <c r="K15" s="9"/>
      <c r="L15" s="12" t="str">
        <f t="shared" ref="L15:L73" si="2">I15+J15</f>
        <v>11</v>
      </c>
      <c r="M15" s="9" t="s">
        <v>11</v>
      </c>
      <c r="N15" s="9"/>
    </row>
    <row r="16">
      <c r="G16" s="13" t="s">
        <v>12</v>
      </c>
      <c r="H16" s="14"/>
      <c r="I16" s="15">
        <v>8.0</v>
      </c>
      <c r="J16" s="15">
        <v>0.0</v>
      </c>
      <c r="K16" s="9"/>
      <c r="L16" s="16" t="str">
        <f t="shared" si="2"/>
        <v>8</v>
      </c>
      <c r="M16" s="9" t="s">
        <v>11</v>
      </c>
      <c r="N16" s="9"/>
    </row>
    <row r="17">
      <c r="G17" s="10" t="s">
        <v>13</v>
      </c>
      <c r="H17" s="9"/>
      <c r="I17" s="11">
        <v>16.0</v>
      </c>
      <c r="J17" s="11">
        <v>22.0</v>
      </c>
      <c r="K17" s="9"/>
      <c r="L17" s="12" t="str">
        <f t="shared" si="2"/>
        <v>38</v>
      </c>
      <c r="M17" s="9" t="s">
        <v>14</v>
      </c>
      <c r="N17" s="9"/>
    </row>
    <row r="18">
      <c r="G18" s="10" t="s">
        <v>15</v>
      </c>
      <c r="H18" s="9"/>
      <c r="I18" s="11">
        <v>16.0</v>
      </c>
      <c r="J18" s="11">
        <v>18.0</v>
      </c>
      <c r="K18" s="9"/>
      <c r="L18" s="12" t="str">
        <f t="shared" si="2"/>
        <v>34</v>
      </c>
      <c r="M18" s="9" t="s">
        <v>16</v>
      </c>
      <c r="N18" s="9"/>
    </row>
    <row r="19">
      <c r="G19" s="10" t="s">
        <v>17</v>
      </c>
      <c r="H19" s="9"/>
      <c r="I19" s="11">
        <v>16.0</v>
      </c>
      <c r="J19" s="11">
        <v>18.0</v>
      </c>
      <c r="K19" s="9"/>
      <c r="L19" s="12" t="str">
        <f t="shared" si="2"/>
        <v>34</v>
      </c>
      <c r="M19" s="9" t="s">
        <v>16</v>
      </c>
      <c r="N19" s="9"/>
    </row>
    <row r="20">
      <c r="G20" s="10" t="s">
        <v>18</v>
      </c>
      <c r="H20" s="9"/>
      <c r="I20" s="11">
        <v>16.0</v>
      </c>
      <c r="J20" s="11">
        <v>12.0</v>
      </c>
      <c r="K20" s="9"/>
      <c r="L20" s="12" t="str">
        <f t="shared" si="2"/>
        <v>28</v>
      </c>
      <c r="M20" s="9" t="s">
        <v>14</v>
      </c>
      <c r="N20" s="9"/>
    </row>
    <row r="21" ht="15.75" customHeight="1">
      <c r="G21" s="10" t="s">
        <v>19</v>
      </c>
      <c r="H21" s="9"/>
      <c r="I21" s="11">
        <v>16.0</v>
      </c>
      <c r="J21" s="11">
        <v>18.0</v>
      </c>
      <c r="K21" s="9"/>
      <c r="L21" s="12" t="str">
        <f t="shared" si="2"/>
        <v>34</v>
      </c>
      <c r="M21" s="9" t="s">
        <v>16</v>
      </c>
      <c r="N21" s="9"/>
    </row>
    <row r="22" ht="15.75" customHeight="1">
      <c r="G22" s="13" t="s">
        <v>20</v>
      </c>
      <c r="H22" s="14"/>
      <c r="I22" s="15">
        <v>11.0</v>
      </c>
      <c r="J22" s="15">
        <v>0.0</v>
      </c>
      <c r="K22" s="9"/>
      <c r="L22" s="16" t="str">
        <f t="shared" si="2"/>
        <v>11</v>
      </c>
      <c r="M22" s="9" t="s">
        <v>21</v>
      </c>
      <c r="N22" s="9"/>
    </row>
    <row r="23" ht="15.75" customHeight="1">
      <c r="G23" s="10" t="s">
        <v>22</v>
      </c>
      <c r="H23" s="9"/>
      <c r="I23" s="11">
        <v>16.0</v>
      </c>
      <c r="J23" s="11">
        <v>18.0</v>
      </c>
      <c r="K23" s="9"/>
      <c r="L23" s="12" t="str">
        <f t="shared" si="2"/>
        <v>34</v>
      </c>
      <c r="M23" s="9" t="s">
        <v>14</v>
      </c>
      <c r="N23" s="9"/>
    </row>
    <row r="24" ht="15.75" customHeight="1">
      <c r="G24" s="17" t="s">
        <v>23</v>
      </c>
      <c r="H24" s="18"/>
      <c r="I24" s="19">
        <v>16.0</v>
      </c>
      <c r="J24" s="19">
        <v>19.0</v>
      </c>
      <c r="K24" s="9"/>
      <c r="L24" s="20" t="str">
        <f t="shared" si="2"/>
        <v>35</v>
      </c>
      <c r="M24" s="9" t="s">
        <v>16</v>
      </c>
      <c r="N24" s="9"/>
    </row>
    <row r="25" ht="15.75" customHeight="1">
      <c r="G25" s="10" t="s">
        <v>24</v>
      </c>
      <c r="H25" s="9"/>
      <c r="I25" s="11">
        <v>16.0</v>
      </c>
      <c r="J25" s="11">
        <v>22.0</v>
      </c>
      <c r="K25" s="9"/>
      <c r="L25" s="12" t="str">
        <f t="shared" si="2"/>
        <v>38</v>
      </c>
      <c r="M25" s="9" t="s">
        <v>14</v>
      </c>
      <c r="N25" s="9"/>
    </row>
    <row r="26" ht="15.75" customHeight="1">
      <c r="G26" s="10" t="s">
        <v>25</v>
      </c>
      <c r="H26" s="9"/>
      <c r="I26" s="11">
        <v>16.0</v>
      </c>
      <c r="J26" s="11">
        <v>22.0</v>
      </c>
      <c r="K26" s="9"/>
      <c r="L26" s="12" t="str">
        <f t="shared" si="2"/>
        <v>38</v>
      </c>
      <c r="M26" s="9" t="s">
        <v>14</v>
      </c>
      <c r="N26" s="9"/>
    </row>
    <row r="27" ht="15.75" customHeight="1">
      <c r="G27" s="10" t="s">
        <v>26</v>
      </c>
      <c r="H27" s="9"/>
      <c r="I27" s="11">
        <v>20.0</v>
      </c>
      <c r="J27" s="11">
        <v>22.0</v>
      </c>
      <c r="K27" s="9"/>
      <c r="L27" s="12" t="str">
        <f t="shared" si="2"/>
        <v>42</v>
      </c>
      <c r="M27" s="9" t="s">
        <v>16</v>
      </c>
      <c r="N27" s="9"/>
    </row>
    <row r="28" ht="15.75" customHeight="1">
      <c r="G28" s="17" t="s">
        <v>27</v>
      </c>
      <c r="H28" s="18"/>
      <c r="I28" s="19">
        <v>8.0</v>
      </c>
      <c r="J28" s="19">
        <v>10.0</v>
      </c>
      <c r="K28" s="9"/>
      <c r="L28" s="20" t="str">
        <f t="shared" si="2"/>
        <v>18</v>
      </c>
      <c r="M28" s="9" t="s">
        <v>14</v>
      </c>
      <c r="N28" s="9"/>
    </row>
    <row r="29" ht="15.75" customHeight="1">
      <c r="G29" s="10" t="s">
        <v>28</v>
      </c>
      <c r="H29" s="9"/>
      <c r="I29" s="11">
        <v>16.0</v>
      </c>
      <c r="J29" s="11">
        <v>22.0</v>
      </c>
      <c r="K29" s="9"/>
      <c r="L29" s="12" t="str">
        <f t="shared" si="2"/>
        <v>38</v>
      </c>
      <c r="M29" s="9" t="s">
        <v>14</v>
      </c>
      <c r="N29" s="9"/>
    </row>
    <row r="30" ht="15.75" customHeight="1">
      <c r="G30" s="10" t="s">
        <v>29</v>
      </c>
      <c r="H30" s="9"/>
      <c r="I30" s="11">
        <v>20.0</v>
      </c>
      <c r="J30" s="11">
        <v>18.0</v>
      </c>
      <c r="K30" s="9"/>
      <c r="L30" s="12" t="str">
        <f t="shared" si="2"/>
        <v>38</v>
      </c>
      <c r="M30" s="9"/>
      <c r="N30" s="9"/>
    </row>
    <row r="31" ht="15.75" customHeight="1">
      <c r="G31" s="10" t="s">
        <v>30</v>
      </c>
      <c r="H31" s="9"/>
      <c r="I31" s="11">
        <v>16.0</v>
      </c>
      <c r="J31" s="11">
        <v>15.0</v>
      </c>
      <c r="K31" s="9"/>
      <c r="L31" s="12" t="str">
        <f t="shared" si="2"/>
        <v>31</v>
      </c>
      <c r="M31" s="9" t="s">
        <v>16</v>
      </c>
      <c r="N31" s="9"/>
    </row>
    <row r="32" ht="15.75" customHeight="1">
      <c r="G32" s="10" t="s">
        <v>31</v>
      </c>
      <c r="H32" s="9"/>
      <c r="I32" s="11">
        <v>20.0</v>
      </c>
      <c r="J32" s="11">
        <v>22.0</v>
      </c>
      <c r="K32" s="9"/>
      <c r="L32" s="12" t="str">
        <f t="shared" si="2"/>
        <v>42</v>
      </c>
      <c r="M32" s="9" t="s">
        <v>16</v>
      </c>
      <c r="N32" s="9"/>
    </row>
    <row r="33" ht="15.75" customHeight="1">
      <c r="G33" s="10" t="s">
        <v>32</v>
      </c>
      <c r="H33" s="9"/>
      <c r="I33" s="11">
        <v>8.0</v>
      </c>
      <c r="J33" s="11">
        <v>22.0</v>
      </c>
      <c r="K33" s="9"/>
      <c r="L33" s="12" t="str">
        <f t="shared" si="2"/>
        <v>30</v>
      </c>
      <c r="M33" s="9" t="s">
        <v>33</v>
      </c>
      <c r="N33" s="9"/>
    </row>
    <row r="34" ht="15.75" customHeight="1">
      <c r="G34" s="10" t="s">
        <v>34</v>
      </c>
      <c r="H34" s="9"/>
      <c r="I34" s="11">
        <v>20.0</v>
      </c>
      <c r="J34" s="11">
        <v>22.0</v>
      </c>
      <c r="K34" s="9"/>
      <c r="L34" s="12" t="str">
        <f t="shared" si="2"/>
        <v>42</v>
      </c>
      <c r="M34" s="9" t="s">
        <v>16</v>
      </c>
      <c r="N34" s="9"/>
    </row>
    <row r="35" ht="15.75" customHeight="1">
      <c r="G35" s="10" t="s">
        <v>35</v>
      </c>
      <c r="H35" s="9"/>
      <c r="I35" s="11">
        <v>12.0</v>
      </c>
      <c r="J35" s="11">
        <v>14.0</v>
      </c>
      <c r="K35" s="9"/>
      <c r="L35" s="20" t="str">
        <f t="shared" si="2"/>
        <v>26</v>
      </c>
      <c r="M35" s="9" t="s">
        <v>16</v>
      </c>
      <c r="N35" s="9"/>
    </row>
    <row r="36" ht="15.75" customHeight="1">
      <c r="G36" s="10" t="s">
        <v>36</v>
      </c>
      <c r="H36" s="9"/>
      <c r="I36" s="11">
        <v>20.0</v>
      </c>
      <c r="J36" s="11">
        <v>22.0</v>
      </c>
      <c r="K36" s="9"/>
      <c r="L36" s="12" t="str">
        <f t="shared" si="2"/>
        <v>42</v>
      </c>
      <c r="M36" s="9"/>
      <c r="N36" s="9"/>
    </row>
    <row r="37" ht="15.75" customHeight="1">
      <c r="G37" s="10" t="s">
        <v>37</v>
      </c>
      <c r="H37" s="9"/>
      <c r="I37" s="11">
        <v>16.0</v>
      </c>
      <c r="J37" s="11">
        <v>6.0</v>
      </c>
      <c r="K37" s="9"/>
      <c r="L37" s="20" t="str">
        <f t="shared" si="2"/>
        <v>22</v>
      </c>
      <c r="M37" s="9" t="s">
        <v>14</v>
      </c>
      <c r="N37" s="9"/>
    </row>
    <row r="38" ht="15.75" customHeight="1">
      <c r="G38" s="10" t="s">
        <v>38</v>
      </c>
      <c r="H38" s="9"/>
      <c r="I38" s="11">
        <v>12.0</v>
      </c>
      <c r="J38" s="11">
        <v>15.0</v>
      </c>
      <c r="K38" s="9"/>
      <c r="L38" s="20" t="str">
        <f t="shared" si="2"/>
        <v>27</v>
      </c>
      <c r="M38" s="9" t="s">
        <v>16</v>
      </c>
      <c r="N38" s="9"/>
    </row>
    <row r="39" ht="15.75" customHeight="1">
      <c r="G39" s="10" t="s">
        <v>39</v>
      </c>
      <c r="H39" s="9"/>
      <c r="I39" s="11">
        <v>8.0</v>
      </c>
      <c r="J39" s="11">
        <v>18.0</v>
      </c>
      <c r="K39" s="9"/>
      <c r="L39" s="12" t="str">
        <f t="shared" si="2"/>
        <v>26</v>
      </c>
      <c r="M39" s="9" t="s">
        <v>14</v>
      </c>
      <c r="N39" s="9"/>
    </row>
    <row r="40" ht="15.75" customHeight="1">
      <c r="G40" s="10" t="s">
        <v>40</v>
      </c>
      <c r="H40" s="9"/>
      <c r="I40" s="11">
        <v>16.0</v>
      </c>
      <c r="J40" s="11">
        <v>14.0</v>
      </c>
      <c r="K40" s="9"/>
      <c r="L40" s="12" t="str">
        <f t="shared" si="2"/>
        <v>30</v>
      </c>
      <c r="M40" s="9" t="s">
        <v>16</v>
      </c>
      <c r="N40" s="9"/>
    </row>
    <row r="41" ht="15.75" customHeight="1">
      <c r="G41" s="10" t="s">
        <v>41</v>
      </c>
      <c r="H41" s="9"/>
      <c r="I41" s="11">
        <v>16.0</v>
      </c>
      <c r="J41" s="11">
        <v>22.0</v>
      </c>
      <c r="K41" s="9"/>
      <c r="L41" s="12" t="str">
        <f t="shared" si="2"/>
        <v>38</v>
      </c>
      <c r="M41" s="9" t="s">
        <v>16</v>
      </c>
      <c r="N41" s="9"/>
    </row>
    <row r="42" ht="15.75" customHeight="1">
      <c r="G42" s="13" t="s">
        <v>42</v>
      </c>
      <c r="H42" s="14"/>
      <c r="I42" s="15">
        <v>4.0</v>
      </c>
      <c r="J42" s="15">
        <v>4.0</v>
      </c>
      <c r="K42" s="14"/>
      <c r="L42" s="16" t="str">
        <f t="shared" si="2"/>
        <v>8</v>
      </c>
      <c r="M42" s="9" t="s">
        <v>14</v>
      </c>
      <c r="N42" s="9"/>
    </row>
    <row r="43" ht="15.75" customHeight="1">
      <c r="G43" s="10" t="s">
        <v>43</v>
      </c>
      <c r="H43" s="9"/>
      <c r="I43" s="11">
        <v>16.0</v>
      </c>
      <c r="J43" s="11">
        <v>18.0</v>
      </c>
      <c r="K43" s="9"/>
      <c r="L43" s="12" t="str">
        <f t="shared" si="2"/>
        <v>34</v>
      </c>
      <c r="M43" s="9" t="s">
        <v>14</v>
      </c>
      <c r="N43" s="9"/>
    </row>
    <row r="44" ht="15.75" customHeight="1">
      <c r="G44" s="10" t="s">
        <v>44</v>
      </c>
      <c r="H44" s="9"/>
      <c r="I44" s="11">
        <v>20.0</v>
      </c>
      <c r="J44" s="11">
        <v>22.0</v>
      </c>
      <c r="K44" s="9"/>
      <c r="L44" s="12" t="str">
        <f t="shared" si="2"/>
        <v>42</v>
      </c>
      <c r="M44" s="9"/>
      <c r="N44" s="9"/>
    </row>
    <row r="45" ht="15.75" customHeight="1">
      <c r="G45" s="10" t="s">
        <v>45</v>
      </c>
      <c r="H45" s="9"/>
      <c r="I45" s="11">
        <v>12.0</v>
      </c>
      <c r="J45" s="11">
        <v>14.0</v>
      </c>
      <c r="K45" s="9"/>
      <c r="L45" s="20" t="str">
        <f t="shared" si="2"/>
        <v>26</v>
      </c>
      <c r="M45" s="9" t="s">
        <v>16</v>
      </c>
      <c r="N45" s="9"/>
    </row>
    <row r="46" ht="15.75" customHeight="1">
      <c r="G46" s="10" t="s">
        <v>46</v>
      </c>
      <c r="H46" s="9"/>
      <c r="I46" s="11">
        <v>16.0</v>
      </c>
      <c r="J46" s="11">
        <v>18.0</v>
      </c>
      <c r="K46" s="9"/>
      <c r="L46" s="12" t="str">
        <f t="shared" si="2"/>
        <v>34</v>
      </c>
      <c r="M46" s="9" t="s">
        <v>14</v>
      </c>
      <c r="N46" s="9"/>
    </row>
    <row r="47" ht="15.75" customHeight="1">
      <c r="G47" s="10" t="s">
        <v>47</v>
      </c>
      <c r="H47" s="9"/>
      <c r="I47" s="11">
        <v>16.0</v>
      </c>
      <c r="J47" s="11">
        <v>22.0</v>
      </c>
      <c r="K47" s="9"/>
      <c r="L47" s="12" t="str">
        <f t="shared" si="2"/>
        <v>38</v>
      </c>
      <c r="M47" s="9" t="s">
        <v>16</v>
      </c>
      <c r="N47" s="9"/>
    </row>
    <row r="48" ht="15.75" customHeight="1">
      <c r="G48" s="17" t="s">
        <v>48</v>
      </c>
      <c r="H48" s="18"/>
      <c r="I48" s="19">
        <v>4.0</v>
      </c>
      <c r="J48" s="19">
        <v>8.0</v>
      </c>
      <c r="K48" s="9"/>
      <c r="L48" s="20" t="str">
        <f t="shared" si="2"/>
        <v>12</v>
      </c>
      <c r="M48" s="9" t="s">
        <v>33</v>
      </c>
      <c r="N48" s="9"/>
    </row>
    <row r="49" ht="15.75" customHeight="1">
      <c r="G49" s="10" t="s">
        <v>49</v>
      </c>
      <c r="H49" s="9"/>
      <c r="I49" s="11">
        <v>20.0</v>
      </c>
      <c r="J49" s="11">
        <v>22.0</v>
      </c>
      <c r="K49" s="9"/>
      <c r="L49" s="12" t="str">
        <f t="shared" si="2"/>
        <v>42</v>
      </c>
      <c r="M49" s="9" t="s">
        <v>16</v>
      </c>
      <c r="N49" s="9"/>
    </row>
    <row r="50" ht="15.75" customHeight="1">
      <c r="G50" s="10" t="s">
        <v>50</v>
      </c>
      <c r="H50" s="9"/>
      <c r="I50" s="11">
        <v>20.0</v>
      </c>
      <c r="J50" s="11">
        <v>18.0</v>
      </c>
      <c r="K50" s="9"/>
      <c r="L50" s="12" t="str">
        <f t="shared" si="2"/>
        <v>38</v>
      </c>
      <c r="M50" s="9"/>
      <c r="N50" s="9"/>
    </row>
    <row r="51" ht="15.75" customHeight="1">
      <c r="G51" s="13" t="s">
        <v>51</v>
      </c>
      <c r="H51" s="14"/>
      <c r="I51" s="15">
        <v>4.0</v>
      </c>
      <c r="J51" s="15">
        <v>0.0</v>
      </c>
      <c r="K51" s="9"/>
      <c r="L51" s="16" t="str">
        <f t="shared" si="2"/>
        <v>4</v>
      </c>
      <c r="M51" s="9" t="s">
        <v>33</v>
      </c>
      <c r="N51" s="9"/>
    </row>
    <row r="52" ht="15.75" customHeight="1">
      <c r="G52" s="17" t="s">
        <v>52</v>
      </c>
      <c r="H52" s="18"/>
      <c r="I52" s="19">
        <v>12.0</v>
      </c>
      <c r="J52" s="19">
        <v>11.0</v>
      </c>
      <c r="K52" s="9"/>
      <c r="L52" s="20" t="str">
        <f t="shared" si="2"/>
        <v>23</v>
      </c>
      <c r="M52" s="9" t="s">
        <v>16</v>
      </c>
      <c r="N52" s="9"/>
    </row>
    <row r="53" ht="15.75" customHeight="1">
      <c r="G53" s="10" t="s">
        <v>53</v>
      </c>
      <c r="H53" s="9"/>
      <c r="I53" s="11">
        <v>12.0</v>
      </c>
      <c r="J53" s="11">
        <v>18.0</v>
      </c>
      <c r="K53" s="9"/>
      <c r="L53" s="12" t="str">
        <f t="shared" si="2"/>
        <v>30</v>
      </c>
      <c r="M53" s="9" t="s">
        <v>16</v>
      </c>
      <c r="N53" s="9"/>
    </row>
    <row r="54" ht="15.75" customHeight="1">
      <c r="G54" s="17" t="s">
        <v>54</v>
      </c>
      <c r="H54" s="18"/>
      <c r="I54" s="19">
        <v>16.0</v>
      </c>
      <c r="J54" s="19">
        <v>8.0</v>
      </c>
      <c r="K54" s="9"/>
      <c r="L54" s="20" t="str">
        <f t="shared" si="2"/>
        <v>24</v>
      </c>
      <c r="M54" s="9" t="s">
        <v>16</v>
      </c>
      <c r="N54" s="9"/>
    </row>
    <row r="55" ht="15.75" customHeight="1">
      <c r="G55" s="10" t="s">
        <v>55</v>
      </c>
      <c r="H55" s="9"/>
      <c r="I55" s="11">
        <v>12.0</v>
      </c>
      <c r="J55" s="11">
        <v>22.0</v>
      </c>
      <c r="K55" s="9"/>
      <c r="L55" s="12" t="str">
        <f t="shared" si="2"/>
        <v>34</v>
      </c>
      <c r="M55" s="9" t="s">
        <v>14</v>
      </c>
      <c r="N55" s="9"/>
    </row>
    <row r="56" ht="15.75" customHeight="1">
      <c r="G56" s="10" t="s">
        <v>56</v>
      </c>
      <c r="H56" s="9"/>
      <c r="I56" s="11">
        <v>16.0</v>
      </c>
      <c r="J56" s="11">
        <v>22.0</v>
      </c>
      <c r="K56" s="9"/>
      <c r="L56" s="12" t="str">
        <f t="shared" si="2"/>
        <v>38</v>
      </c>
      <c r="M56" s="9" t="s">
        <v>16</v>
      </c>
      <c r="N56" s="9"/>
    </row>
    <row r="57" ht="15.75" customHeight="1">
      <c r="G57" s="10" t="s">
        <v>57</v>
      </c>
      <c r="H57" s="9"/>
      <c r="I57" s="11">
        <v>16.0</v>
      </c>
      <c r="J57" s="11">
        <v>14.0</v>
      </c>
      <c r="K57" s="9"/>
      <c r="L57" s="12" t="str">
        <f t="shared" si="2"/>
        <v>30</v>
      </c>
      <c r="M57" s="9" t="s">
        <v>14</v>
      </c>
      <c r="N57" s="9"/>
    </row>
    <row r="58" ht="15.75" customHeight="1">
      <c r="G58" s="10" t="s">
        <v>58</v>
      </c>
      <c r="H58" s="9"/>
      <c r="I58" s="11">
        <v>16.0</v>
      </c>
      <c r="J58" s="11">
        <v>22.0</v>
      </c>
      <c r="K58" s="9"/>
      <c r="L58" s="12" t="str">
        <f t="shared" si="2"/>
        <v>38</v>
      </c>
      <c r="M58" s="9" t="s">
        <v>16</v>
      </c>
      <c r="N58" s="9"/>
    </row>
    <row r="59" ht="15.75" customHeight="1">
      <c r="G59" s="10" t="s">
        <v>59</v>
      </c>
      <c r="H59" s="9"/>
      <c r="I59" s="11">
        <v>12.0</v>
      </c>
      <c r="J59" s="11">
        <v>22.0</v>
      </c>
      <c r="K59" s="9"/>
      <c r="L59" s="12" t="str">
        <f t="shared" si="2"/>
        <v>34</v>
      </c>
      <c r="M59" s="9" t="s">
        <v>16</v>
      </c>
      <c r="N59" s="9"/>
    </row>
    <row r="60" ht="15.75" customHeight="1">
      <c r="G60" s="10" t="s">
        <v>60</v>
      </c>
      <c r="H60" s="9"/>
      <c r="I60" s="11">
        <v>16.0</v>
      </c>
      <c r="J60" s="11">
        <v>22.0</v>
      </c>
      <c r="K60" s="9"/>
      <c r="L60" s="12" t="str">
        <f t="shared" si="2"/>
        <v>38</v>
      </c>
      <c r="M60" s="9" t="s">
        <v>16</v>
      </c>
      <c r="N60" s="9"/>
    </row>
    <row r="61" ht="15.75" customHeight="1">
      <c r="G61" s="10" t="s">
        <v>61</v>
      </c>
      <c r="H61" s="9"/>
      <c r="I61" s="11">
        <v>12.0</v>
      </c>
      <c r="J61" s="11">
        <v>22.0</v>
      </c>
      <c r="K61" s="9"/>
      <c r="L61" s="12" t="str">
        <f t="shared" si="2"/>
        <v>34</v>
      </c>
      <c r="M61" s="9" t="s">
        <v>14</v>
      </c>
      <c r="N61" s="9"/>
    </row>
    <row r="62" ht="15.75" customHeight="1">
      <c r="G62" s="10" t="s">
        <v>62</v>
      </c>
      <c r="H62" s="9"/>
      <c r="I62" s="11">
        <v>16.0</v>
      </c>
      <c r="J62" s="11">
        <v>22.0</v>
      </c>
      <c r="K62" s="9"/>
      <c r="L62" s="12" t="str">
        <f t="shared" si="2"/>
        <v>38</v>
      </c>
      <c r="M62" s="9" t="s">
        <v>16</v>
      </c>
      <c r="N62" s="9"/>
    </row>
    <row r="63" ht="15.75" customHeight="1">
      <c r="G63" s="10" t="s">
        <v>63</v>
      </c>
      <c r="H63" s="9"/>
      <c r="I63" s="11">
        <v>16.0</v>
      </c>
      <c r="J63" s="11">
        <v>12.0</v>
      </c>
      <c r="K63" s="9"/>
      <c r="L63" s="12" t="str">
        <f t="shared" si="2"/>
        <v>28</v>
      </c>
      <c r="M63" s="9" t="s">
        <v>14</v>
      </c>
      <c r="N63" s="9"/>
    </row>
    <row r="64" ht="15.75" customHeight="1">
      <c r="G64" s="10" t="s">
        <v>64</v>
      </c>
      <c r="H64" s="9"/>
      <c r="I64" s="11">
        <v>16.0</v>
      </c>
      <c r="J64" s="11">
        <v>22.0</v>
      </c>
      <c r="K64" s="9"/>
      <c r="L64" s="12" t="str">
        <f t="shared" si="2"/>
        <v>38</v>
      </c>
      <c r="M64" s="9" t="s">
        <v>14</v>
      </c>
      <c r="N64" s="9"/>
    </row>
    <row r="65" ht="15.75" customHeight="1">
      <c r="G65" s="10" t="s">
        <v>65</v>
      </c>
      <c r="H65" s="9"/>
      <c r="I65" s="11">
        <v>16.0</v>
      </c>
      <c r="J65" s="11">
        <v>18.0</v>
      </c>
      <c r="K65" s="9"/>
      <c r="L65" s="12" t="str">
        <f t="shared" si="2"/>
        <v>34</v>
      </c>
      <c r="M65" s="9" t="s">
        <v>16</v>
      </c>
      <c r="N65" s="9"/>
    </row>
    <row r="66" ht="15.75" customHeight="1">
      <c r="G66" s="10" t="s">
        <v>66</v>
      </c>
      <c r="H66" s="9"/>
      <c r="I66" s="11">
        <v>16.0</v>
      </c>
      <c r="J66" s="11">
        <v>22.0</v>
      </c>
      <c r="K66" s="9"/>
      <c r="L66" s="12" t="str">
        <f t="shared" si="2"/>
        <v>38</v>
      </c>
      <c r="M66" s="9" t="s">
        <v>14</v>
      </c>
      <c r="N66" s="9"/>
    </row>
    <row r="67" ht="15.75" customHeight="1">
      <c r="G67" s="10" t="s">
        <v>67</v>
      </c>
      <c r="H67" s="9"/>
      <c r="I67" s="11">
        <v>16.0</v>
      </c>
      <c r="J67" s="11">
        <v>22.0</v>
      </c>
      <c r="K67" s="9"/>
      <c r="L67" s="12" t="str">
        <f t="shared" si="2"/>
        <v>38</v>
      </c>
      <c r="M67" s="9" t="s">
        <v>14</v>
      </c>
      <c r="N67" s="9"/>
    </row>
    <row r="68" ht="15.75" customHeight="1">
      <c r="G68" s="10" t="s">
        <v>68</v>
      </c>
      <c r="H68" s="9"/>
      <c r="I68" s="11">
        <v>20.0</v>
      </c>
      <c r="J68" s="11">
        <v>22.0</v>
      </c>
      <c r="K68" s="9"/>
      <c r="L68" s="12" t="str">
        <f t="shared" si="2"/>
        <v>42</v>
      </c>
      <c r="M68" s="9" t="s">
        <v>16</v>
      </c>
      <c r="N68" s="9"/>
    </row>
    <row r="69" ht="15.75" customHeight="1">
      <c r="G69" s="10" t="s">
        <v>69</v>
      </c>
      <c r="H69" s="9"/>
      <c r="I69" s="11">
        <v>20.0</v>
      </c>
      <c r="J69" s="11">
        <v>22.0</v>
      </c>
      <c r="K69" s="9"/>
      <c r="L69" s="12" t="str">
        <f t="shared" si="2"/>
        <v>42</v>
      </c>
      <c r="M69" s="9"/>
      <c r="N69" s="9"/>
    </row>
    <row r="70" ht="15.75" customHeight="1">
      <c r="G70" s="10" t="s">
        <v>70</v>
      </c>
      <c r="H70" s="9"/>
      <c r="I70" s="11">
        <v>16.0</v>
      </c>
      <c r="J70" s="11">
        <v>22.0</v>
      </c>
      <c r="K70" s="9"/>
      <c r="L70" s="12" t="str">
        <f t="shared" si="2"/>
        <v>38</v>
      </c>
      <c r="M70" s="9" t="s">
        <v>16</v>
      </c>
      <c r="N70" s="9"/>
    </row>
    <row r="71" ht="15.75" customHeight="1">
      <c r="G71" s="17" t="s">
        <v>71</v>
      </c>
      <c r="H71" s="18"/>
      <c r="I71" s="19">
        <v>8.0</v>
      </c>
      <c r="J71" s="19">
        <v>3.0</v>
      </c>
      <c r="K71" s="18"/>
      <c r="L71" s="20" t="str">
        <f t="shared" si="2"/>
        <v>11</v>
      </c>
      <c r="M71" s="21" t="s">
        <v>72</v>
      </c>
    </row>
    <row r="72" ht="15.75" customHeight="1">
      <c r="G72" s="8" t="s">
        <v>73</v>
      </c>
      <c r="H72" s="9"/>
      <c r="I72" s="11">
        <v>16.0</v>
      </c>
      <c r="J72" s="11">
        <v>14.0</v>
      </c>
      <c r="K72" s="9"/>
      <c r="L72" s="12" t="str">
        <f t="shared" si="2"/>
        <v>30</v>
      </c>
      <c r="M72" s="21" t="s">
        <v>14</v>
      </c>
    </row>
    <row r="73" ht="15.75" customHeight="1">
      <c r="G73" s="8" t="s">
        <v>74</v>
      </c>
      <c r="H73" s="9"/>
      <c r="I73" s="11">
        <v>16.0</v>
      </c>
      <c r="J73" s="11">
        <v>22.0</v>
      </c>
      <c r="K73" s="9"/>
      <c r="L73" s="12" t="str">
        <f t="shared" si="2"/>
        <v>38</v>
      </c>
      <c r="M73" s="21" t="s">
        <v>75</v>
      </c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2">
    <mergeCell ref="I5:L5"/>
    <mergeCell ref="I11:L11"/>
  </mergeCells>
  <conditionalFormatting sqref="L14">
    <cfRule type="cellIs" dxfId="0" priority="1" operator="equal">
      <formula>#REF!</formula>
    </cfRule>
  </conditionalFormatting>
  <conditionalFormatting sqref="L14">
    <cfRule type="cellIs" dxfId="1" priority="2" operator="lessThan">
      <formula>#REF!</formula>
    </cfRule>
  </conditionalFormatting>
  <conditionalFormatting sqref="L14">
    <cfRule type="cellIs" dxfId="0" priority="3" operator="greaterThan">
      <formula>#REF!</formula>
    </cfRule>
  </conditionalFormatting>
  <conditionalFormatting sqref="L14">
    <cfRule type="cellIs" dxfId="0" priority="4" operator="greaterThan">
      <formula>#REF!</formula>
    </cfRule>
  </conditionalFormatting>
  <conditionalFormatting sqref="N8">
    <cfRule type="cellIs" dxfId="0" priority="5" operator="equal">
      <formula>$N$12</formula>
    </cfRule>
  </conditionalFormatting>
  <conditionalFormatting sqref="N8">
    <cfRule type="cellIs" dxfId="0" priority="6" operator="greaterThan">
      <formula>"0$N$10"</formula>
    </cfRule>
  </conditionalFormatting>
  <conditionalFormatting sqref="N8">
    <cfRule type="cellIs" dxfId="0" priority="7" operator="greaterThan">
      <formula>$N$12</formula>
    </cfRule>
  </conditionalFormatting>
  <conditionalFormatting sqref="N8">
    <cfRule type="cellIs" dxfId="1" priority="8" operator="lessThan">
      <formula>$N$12</formula>
    </cfRule>
  </conditionalFormatting>
  <conditionalFormatting sqref="N8">
    <cfRule type="cellIs" dxfId="0" priority="9" operator="lessThan">
      <formula>$N$12</formula>
    </cfRule>
  </conditionalFormatting>
  <conditionalFormatting sqref="N8">
    <cfRule type="cellIs" dxfId="1" priority="10" operator="lessThan">
      <formula>$N$12</formula>
    </cfRule>
  </conditionalFormatting>
  <conditionalFormatting sqref="I8">
    <cfRule type="cellIs" dxfId="0" priority="11" operator="greaterThan">
      <formula>$N$12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Sheet1</vt:lpstr>
      <vt:lpstr>Sheet2</vt:lpstr>
      <vt:lpstr>Sheet3</vt:lpstr>
    </vt:vector>
  </TitlesOfParts>
  <LinksUpToDate>false</LinksUpToDate>
  <SharedDoc>false</SharedDoc>
  <HyperlinksChanged>false</HyperlinksChanged>
  <Application>Microsoft Excel</Application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cp:lastModifiedBy/>
  <dcterms:modified xsi:type="dcterms:W3CDTF">2025-11-27T04:13:43Z</dcterms:modified>
</cp:coreProperties>
</file>